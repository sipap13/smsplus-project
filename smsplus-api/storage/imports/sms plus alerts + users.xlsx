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b74229\Desktop\"/>
    </mc:Choice>
  </mc:AlternateContent>
  <xr:revisionPtr revIDLastSave="0" documentId="13_ncr:1_{3B0122F3-218B-461F-9361-4B2C9471D6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MG vs OCC" sheetId="4" r:id="rId1"/>
    <sheet name="alert" sheetId="5" r:id="rId2"/>
    <sheet name="Utilisateur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H7" i="4"/>
  <c r="H8" i="4"/>
  <c r="H9" i="4"/>
  <c r="H10" i="4"/>
  <c r="H11" i="4"/>
  <c r="H12" i="4"/>
  <c r="H13" i="4"/>
  <c r="H14" i="4"/>
  <c r="H15" i="4"/>
  <c r="H6" i="4"/>
</calcChain>
</file>

<file path=xl/sharedStrings.xml><?xml version="1.0" encoding="utf-8"?>
<sst xmlns="http://schemas.openxmlformats.org/spreadsheetml/2006/main" count="27" uniqueCount="27">
  <si>
    <t>Start date</t>
  </si>
  <si>
    <t>MMG</t>
  </si>
  <si>
    <t>OCC</t>
  </si>
  <si>
    <t>ecart</t>
  </si>
  <si>
    <t>Les alerts</t>
  </si>
  <si>
    <t>id alert</t>
  </si>
  <si>
    <t>start date</t>
  </si>
  <si>
    <t>nom du service</t>
  </si>
  <si>
    <t>SC</t>
  </si>
  <si>
    <t>keyword</t>
  </si>
  <si>
    <t>nom du fournisseur</t>
  </si>
  <si>
    <t>20% &gt;= augmentation par rapport les 7 jours (la moyenne)</t>
  </si>
  <si>
    <t>count nb sms+</t>
  </si>
  <si>
    <t>motif</t>
  </si>
  <si>
    <t>status</t>
  </si>
  <si>
    <t>Rafe9ni by Tunisie Telecom</t>
  </si>
  <si>
    <t>_N</t>
  </si>
  <si>
    <t>Digtal Vergo</t>
  </si>
  <si>
    <t>Reset Coté BD</t>
  </si>
  <si>
    <t>True/ False</t>
  </si>
  <si>
    <t>ID</t>
  </si>
  <si>
    <t>email</t>
  </si>
  <si>
    <t>password</t>
  </si>
  <si>
    <t>direction</t>
  </si>
  <si>
    <t>role</t>
  </si>
  <si>
    <t>image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</si>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</sst>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1" applyNumberFormat="1" applyFont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MMG vs OCC</a:t>
            </a:r>
          </a:p>
          <a:p>
            <a:pPr>
              <a:defRPr b="1"/>
            </a:pPr>
            <a:r>
              <a:rPr lang="fr-FR" b="1"/>
              <a:t>Trafic SMS+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'MMG vs OCC'!$F$5</c:f>
              <c:strCache>
                <c:ptCount val="1"/>
                <c:pt idx="0">
                  <c:v>MMG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'MMG vs OCC'!$E$6:$E$15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'MMG vs OCC'!$F$6:$F$15</c:f>
              <c:numCache>
                <c:formatCode>General</c:formatCode>
                <c:ptCount val="10"/>
                <c:pt idx="0">
                  <c:v>416993</c:v>
                </c:pt>
                <c:pt idx="1">
                  <c:v>449075</c:v>
                </c:pt>
                <c:pt idx="2">
                  <c:v>435067</c:v>
                </c:pt>
                <c:pt idx="3">
                  <c:v>432499</c:v>
                </c:pt>
                <c:pt idx="4">
                  <c:v>419015</c:v>
                </c:pt>
                <c:pt idx="5">
                  <c:v>420114</c:v>
                </c:pt>
                <c:pt idx="6">
                  <c:v>411272</c:v>
                </c:pt>
                <c:pt idx="7">
                  <c:v>393061</c:v>
                </c:pt>
                <c:pt idx="8">
                  <c:v>436923</c:v>
                </c:pt>
                <c:pt idx="9">
                  <c:v>437262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C-4DB7-B606-D42D7523CE30}"/>
            </c:ext>
          </c:extLst>
        </c:ser>
        <c:ser>
          <c:idx val="1"/>
          <c:order val="1"/>
          <c:tx>
            <c:strRef>
              <c:f>'MMG vs OCC'!$G$5</c:f>
              <c:strCache>
                <c:ptCount val="1"/>
                <c:pt idx="0">
                  <c:v>OCC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'MMG vs OCC'!$E$6:$E$15</c:f>
              <c:numCache>
                <c:formatCode>m/d/yyyy</c:formatCode>
                <c:ptCount val="1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</c:numCache>
            </c:numRef>
          </c:cat>
          <c:val>
            <c:numRef>
              <c:f>'MMG vs OCC'!$G$6:$G$15</c:f>
              <c:numCache>
                <c:formatCode>General</c:formatCode>
                <c:ptCount val="10"/>
                <c:pt idx="0">
                  <c:v>415079</c:v>
                </c:pt>
                <c:pt idx="1">
                  <c:v>446770</c:v>
                </c:pt>
                <c:pt idx="2">
                  <c:v>432283</c:v>
                </c:pt>
                <c:pt idx="3">
                  <c:v>430983</c:v>
                </c:pt>
                <c:pt idx="4">
                  <c:v>416953</c:v>
                </c:pt>
                <c:pt idx="5">
                  <c:v>418404</c:v>
                </c:pt>
                <c:pt idx="6">
                  <c:v>408046</c:v>
                </c:pt>
                <c:pt idx="7">
                  <c:v>391355</c:v>
                </c:pt>
                <c:pt idx="8">
                  <c:v>433854</c:v>
                </c:pt>
                <c:pt idx="9">
                  <c:v>430897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C-4DB7-B606-D42D7523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533376"/>
        <c:axId val="1028535296"/>
      </c:barChart>
      <c:dateAx>
        <c:axId val="1028533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535296"/>
        <c:crosses val="autoZero"/>
        <c:auto val="1"/>
        <c:lblOffset val="100"/>
        <c:baseTimeUnit val="days"/>
      </c:dateAx>
      <c:valAx>
        <c:axId val="102853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53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243840</xdr:colOff>
      <xdr:row>6</xdr:row>
      <xdr:rowOff>3810</xdr:rowOff>
    </xdr:from>
    <xdr:to>
      <xdr:col>19</xdr:col>
      <xdr:colOff>396240</xdr:colOff>
      <xdr:row>27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ACE4BB-BB48-E021-D78D-7138F4497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03D95-EE62-4798-9346-AA33B4EF7D1A}" name="Tableau1" displayName="Tableau1" ref="E5:H15" totalsRowShown="0">
  <autoFilter ref="E5:H15" xr:uid="{2EE03D95-EE62-4798-9346-AA33B4EF7D1A}"/>
  <tableColumns count="4">
    <tableColumn id="1" xr3:uid="{36023682-405F-4B20-97F4-D3993C23E350}" name="Start date" dataDxfId="1"/>
    <tableColumn id="2" xr3:uid="{4D4C0910-12A9-4FD3-8C44-B4AF626C010E}" name="MMG"/>
    <tableColumn id="3" xr3:uid="{0D1352E6-F684-4CA6-AAE5-68C07B0DE0CA}" name="OCC"/>
    <tableColumn id="4" xr3:uid="{8E4A1A4B-BAC6-4934-8502-40A6948EF727}" name="ecart" dataDxfId="0">
      <calculatedColumnFormula>(F6-G6)/MAX(F6,G6)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6568-2354-4580-A441-6A2F0804D5D1}">
  <dimension ref="E5:H15"/>
  <sheetViews>
    <sheetView tabSelected="1" topLeftCell="C1" workbookViewId="0">
      <selection activeCell="F22" sqref="F22"/>
    </sheetView>
  </sheetViews>
  <sheetFormatPr defaultColWidth="11.42578125" defaultRowHeight="14.45"/>
  <sheetData>
    <row r="5" spans="5:8">
      <c r="E5" t="s">
        <v>0</v>
      </c>
      <c r="F5" t="s">
        <v>1</v>
      </c>
      <c r="G5" t="s">
        <v>2</v>
      </c>
      <c r="H5" t="s">
        <v>3</v>
      </c>
    </row>
    <row r="6" spans="5:8">
      <c r="E6" s="1">
        <v>46082</v>
      </c>
      <c r="F6">
        <v>416993</v>
      </c>
      <c r="G6">
        <v>415079</v>
      </c>
      <c r="H6" s="2">
        <f>(F6-G6)/MAX(F6,G6)</f>
        <v>4.5900051079994153E-3</v>
      </c>
    </row>
    <row r="7" spans="5:8">
      <c r="E7" s="1">
        <v>46083</v>
      </c>
      <c r="F7">
        <v>449075</v>
      </c>
      <c r="G7">
        <v>446770</v>
      </c>
      <c r="H7" s="2">
        <f t="shared" ref="H7:H15" si="0">(F7-G7)/MAX(F7,G7)</f>
        <v>5.1327729221176868E-3</v>
      </c>
    </row>
    <row r="8" spans="5:8">
      <c r="E8" s="1">
        <v>46084</v>
      </c>
      <c r="F8">
        <v>435067</v>
      </c>
      <c r="G8">
        <v>432283</v>
      </c>
      <c r="H8" s="2">
        <f t="shared" si="0"/>
        <v>6.3990144046779003E-3</v>
      </c>
    </row>
    <row r="9" spans="5:8">
      <c r="E9" s="1">
        <v>46085</v>
      </c>
      <c r="F9">
        <v>432499</v>
      </c>
      <c r="G9">
        <v>430983</v>
      </c>
      <c r="H9" s="2">
        <f t="shared" si="0"/>
        <v>3.5052104166714837E-3</v>
      </c>
    </row>
    <row r="10" spans="5:8">
      <c r="E10" s="1">
        <v>46086</v>
      </c>
      <c r="F10">
        <v>419015</v>
      </c>
      <c r="G10">
        <v>416953</v>
      </c>
      <c r="H10" s="2">
        <f t="shared" si="0"/>
        <v>4.9210648783456438E-3</v>
      </c>
    </row>
    <row r="11" spans="5:8">
      <c r="E11" s="1">
        <v>46087</v>
      </c>
      <c r="F11">
        <v>420114</v>
      </c>
      <c r="G11">
        <v>418404</v>
      </c>
      <c r="H11" s="2">
        <f t="shared" si="0"/>
        <v>4.0703237692626291E-3</v>
      </c>
    </row>
    <row r="12" spans="5:8">
      <c r="E12" s="1">
        <v>46088</v>
      </c>
      <c r="F12">
        <v>411272</v>
      </c>
      <c r="G12">
        <v>408046</v>
      </c>
      <c r="H12" s="2">
        <f t="shared" si="0"/>
        <v>7.8439572837440911E-3</v>
      </c>
    </row>
    <row r="13" spans="5:8">
      <c r="E13" s="1">
        <v>46089</v>
      </c>
      <c r="F13">
        <v>393061</v>
      </c>
      <c r="G13">
        <v>391355</v>
      </c>
      <c r="H13" s="2">
        <f t="shared" si="0"/>
        <v>4.3402932369276019E-3</v>
      </c>
    </row>
    <row r="14" spans="5:8">
      <c r="E14" s="1">
        <v>46090</v>
      </c>
      <c r="F14">
        <v>436923</v>
      </c>
      <c r="G14">
        <v>433854</v>
      </c>
      <c r="H14" s="2">
        <f t="shared" si="0"/>
        <v>7.0241209549508727E-3</v>
      </c>
    </row>
    <row r="15" spans="5:8">
      <c r="E15" s="1">
        <v>46091</v>
      </c>
      <c r="F15">
        <v>437262</v>
      </c>
      <c r="G15">
        <v>430897</v>
      </c>
      <c r="H15" s="2">
        <f t="shared" si="0"/>
        <v>1.4556490159218043E-2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2E3E-1EEB-47AF-8ED5-D4ECE19AEE5D}">
  <dimension ref="E3:N5"/>
  <sheetViews>
    <sheetView workbookViewId="0">
      <selection activeCell="K9" sqref="K9"/>
    </sheetView>
  </sheetViews>
  <sheetFormatPr defaultColWidth="11.42578125" defaultRowHeight="14.45"/>
  <cols>
    <col min="11" max="11" width="48.7109375" bestFit="1" customWidth="1"/>
    <col min="12" max="12" width="15.28515625" customWidth="1"/>
    <col min="13" max="13" width="14.42578125" customWidth="1"/>
  </cols>
  <sheetData>
    <row r="3" spans="5:14">
      <c r="E3" s="8" t="s">
        <v>4</v>
      </c>
      <c r="F3" s="8"/>
      <c r="G3" s="8"/>
      <c r="H3" s="8"/>
      <c r="I3" s="8"/>
      <c r="J3" s="8"/>
      <c r="K3" s="8"/>
      <c r="L3" s="8"/>
      <c r="M3" s="8"/>
      <c r="N3" s="8"/>
    </row>
    <row r="4" spans="5:14"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5:14">
      <c r="E5" s="4">
        <v>1</v>
      </c>
      <c r="F5" s="5">
        <f ca="1">TODAY()</f>
        <v>46112</v>
      </c>
      <c r="G5" s="6" t="s">
        <v>15</v>
      </c>
      <c r="H5" s="6">
        <v>85810</v>
      </c>
      <c r="I5" s="6" t="s">
        <v>16</v>
      </c>
      <c r="J5" s="6" t="s">
        <v>17</v>
      </c>
      <c r="K5" s="7">
        <v>0.25</v>
      </c>
      <c r="L5" s="6">
        <v>110000</v>
      </c>
      <c r="M5" s="4" t="s">
        <v>18</v>
      </c>
      <c r="N5" s="6" t="s">
        <v>19</v>
      </c>
    </row>
  </sheetData>
  <mergeCells count="1">
    <mergeCell ref="E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B98C-082B-44AB-AE22-3F97BE2AF710}">
  <dimension ref="A1:A7"/>
  <sheetViews>
    <sheetView workbookViewId="0">
      <selection activeCell="E9" sqref="E9"/>
    </sheetView>
  </sheetViews>
  <sheetFormatPr defaultColWidth="11.42578125" defaultRowHeight="14.45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Yassine.Brahmi</dc:creator>
  <cp:keywords/>
  <dc:description/>
  <cp:lastModifiedBy>Guest User</cp:lastModifiedBy>
  <cp:revision/>
  <dcterms:created xsi:type="dcterms:W3CDTF">2026-01-03T13:28:34Z</dcterms:created>
  <dcterms:modified xsi:type="dcterms:W3CDTF">2026-03-31T19:56:59Z</dcterms:modified>
  <cp:category/>
  <cp:contentStatus/>
</cp:coreProperties>
</file>